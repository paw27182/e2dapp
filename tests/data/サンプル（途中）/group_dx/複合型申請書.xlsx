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1655" windowHeight="6465"/>
  </bookViews>
  <sheets>
    <sheet name="複合型申請書" sheetId="1" r:id="rId1"/>
    <sheet name="変換版" sheetId="2" r:id="rId2"/>
    <sheet name="control" sheetId="3" r:id="rId3"/>
  </sheets>
  <calcPr calcId="125725"/>
</workbook>
</file>

<file path=xl/calcChain.xml><?xml version="1.0" encoding="utf-8"?>
<calcChain xmlns="http://schemas.openxmlformats.org/spreadsheetml/2006/main">
  <c r="B5" i="2"/>
  <c r="C5"/>
  <c r="D5"/>
  <c r="E5"/>
  <c r="F5"/>
  <c r="B6"/>
  <c r="C6"/>
  <c r="D6"/>
  <c r="E6"/>
  <c r="F6"/>
  <c r="B7"/>
  <c r="C7"/>
  <c r="D7"/>
  <c r="E7"/>
  <c r="F7"/>
  <c r="B8"/>
  <c r="C8"/>
  <c r="D8"/>
  <c r="E8"/>
  <c r="F8"/>
  <c r="B9"/>
  <c r="C9"/>
  <c r="D9"/>
  <c r="E9"/>
  <c r="F9"/>
  <c r="B10"/>
  <c r="C10"/>
  <c r="D10"/>
  <c r="E10"/>
  <c r="F10"/>
  <c r="B11"/>
  <c r="C11"/>
  <c r="D11"/>
  <c r="E11"/>
  <c r="F11"/>
  <c r="B12"/>
  <c r="C12"/>
  <c r="D12"/>
  <c r="E12"/>
  <c r="F12"/>
  <c r="B13"/>
  <c r="C13"/>
  <c r="D13"/>
  <c r="E13"/>
  <c r="F13"/>
  <c r="B14"/>
  <c r="C14"/>
  <c r="D14"/>
  <c r="E14"/>
  <c r="F14"/>
  <c r="G14"/>
  <c r="B15"/>
  <c r="C15"/>
  <c r="D15"/>
  <c r="E15"/>
  <c r="F15"/>
  <c r="B16"/>
  <c r="C16"/>
  <c r="D16"/>
  <c r="E16"/>
  <c r="F16"/>
  <c r="B17"/>
  <c r="C17"/>
  <c r="D17"/>
  <c r="E17"/>
  <c r="F17"/>
  <c r="B18"/>
  <c r="C18"/>
  <c r="D18"/>
  <c r="E18"/>
  <c r="F18"/>
  <c r="B19"/>
  <c r="C19"/>
  <c r="D19"/>
  <c r="E19"/>
  <c r="F19"/>
  <c r="B20"/>
  <c r="C20"/>
  <c r="D20"/>
  <c r="E20"/>
  <c r="F20"/>
  <c r="B21"/>
  <c r="C21"/>
  <c r="D21"/>
  <c r="E21"/>
  <c r="F21"/>
  <c r="B22"/>
  <c r="C22"/>
  <c r="D22"/>
  <c r="E22"/>
  <c r="F22"/>
  <c r="B23"/>
  <c r="C23"/>
  <c r="D23"/>
  <c r="E23"/>
  <c r="F23"/>
  <c r="B24"/>
  <c r="C24"/>
  <c r="D24"/>
  <c r="E24"/>
  <c r="F24"/>
  <c r="B25"/>
  <c r="C25"/>
  <c r="D25"/>
  <c r="E25"/>
  <c r="F25"/>
  <c r="B26"/>
  <c r="C26"/>
  <c r="D26"/>
  <c r="E26"/>
  <c r="F26"/>
  <c r="B27"/>
  <c r="C27"/>
  <c r="D27"/>
  <c r="E27"/>
  <c r="F27"/>
  <c r="B28"/>
  <c r="C28"/>
  <c r="D28"/>
  <c r="E28"/>
  <c r="F28"/>
  <c r="B29"/>
  <c r="C29"/>
  <c r="D29"/>
  <c r="E29"/>
  <c r="F29"/>
  <c r="B30"/>
  <c r="C30"/>
  <c r="D30"/>
  <c r="E30"/>
  <c r="F30"/>
  <c r="B31"/>
  <c r="C31"/>
  <c r="D31"/>
  <c r="E31"/>
  <c r="F31"/>
  <c r="B32"/>
  <c r="C32"/>
  <c r="D32"/>
  <c r="E32"/>
  <c r="F32"/>
  <c r="C3"/>
  <c r="C4"/>
  <c r="C2"/>
  <c r="B3"/>
  <c r="B4"/>
  <c r="B2"/>
  <c r="D3"/>
  <c r="E3"/>
  <c r="F3"/>
  <c r="G3"/>
  <c r="D4"/>
  <c r="E4"/>
  <c r="F4"/>
  <c r="G4"/>
  <c r="G2" i="1"/>
  <c r="A2" i="2" s="1"/>
  <c r="G1"/>
  <c r="F1"/>
  <c r="E1"/>
  <c r="F2"/>
  <c r="E2"/>
  <c r="D1"/>
  <c r="D2"/>
  <c r="C1"/>
  <c r="B1"/>
  <c r="F11" i="1"/>
  <c r="G2" i="2" s="1"/>
  <c r="F12" i="1"/>
  <c r="F13"/>
  <c r="F14"/>
  <c r="G5" i="2" s="1"/>
  <c r="F15" i="1"/>
  <c r="G6" i="2" s="1"/>
  <c r="F16" i="1"/>
  <c r="G7" i="2" s="1"/>
  <c r="F17" i="1"/>
  <c r="G8" i="2" s="1"/>
  <c r="F18" i="1"/>
  <c r="G9" i="2" s="1"/>
  <c r="F19" i="1"/>
  <c r="G10" i="2" s="1"/>
  <c r="F20" i="1"/>
  <c r="G11" i="2" s="1"/>
  <c r="F21" i="1"/>
  <c r="G12" i="2" s="1"/>
  <c r="F22" i="1"/>
  <c r="G13" i="2" s="1"/>
  <c r="F23" i="1"/>
  <c r="F24"/>
  <c r="G15" i="2" s="1"/>
  <c r="F25" i="1"/>
  <c r="G16" i="2" s="1"/>
  <c r="F26" i="1"/>
  <c r="G17" i="2" s="1"/>
  <c r="F27" i="1"/>
  <c r="G18" i="2" s="1"/>
  <c r="F28" i="1"/>
  <c r="G19" i="2" s="1"/>
  <c r="F29" i="1"/>
  <c r="G20" i="2" s="1"/>
  <c r="F30" i="1"/>
  <c r="G21" i="2" s="1"/>
  <c r="F31" i="1"/>
  <c r="G22" i="2" s="1"/>
  <c r="F32" i="1"/>
  <c r="G23" i="2" s="1"/>
  <c r="F33" i="1"/>
  <c r="G24" i="2" s="1"/>
  <c r="F34" i="1"/>
  <c r="G25" i="2" s="1"/>
  <c r="F35" i="1"/>
  <c r="G26" i="2" s="1"/>
  <c r="F36" i="1"/>
  <c r="G27" i="2" s="1"/>
  <c r="F37" i="1"/>
  <c r="G28" i="2" s="1"/>
  <c r="F38" i="1"/>
  <c r="G29" i="2" s="1"/>
  <c r="F39" i="1"/>
  <c r="G30" i="2" s="1"/>
  <c r="F40" i="1"/>
  <c r="G31" i="2" s="1"/>
  <c r="F41" i="1"/>
  <c r="G32" i="2" s="1"/>
  <c r="A30" l="1"/>
  <c r="A26"/>
  <c r="A22"/>
  <c r="A14"/>
  <c r="A29"/>
  <c r="A25"/>
  <c r="A21"/>
  <c r="A17"/>
  <c r="A13"/>
  <c r="A9"/>
  <c r="A5"/>
  <c r="A28"/>
  <c r="A24"/>
  <c r="A20"/>
  <c r="A16"/>
  <c r="A12"/>
  <c r="A8"/>
  <c r="A32"/>
  <c r="A31"/>
  <c r="A27"/>
  <c r="A23"/>
  <c r="A19"/>
  <c r="A15"/>
  <c r="A11"/>
  <c r="A7"/>
  <c r="A18"/>
  <c r="A10"/>
  <c r="A6"/>
  <c r="A3"/>
  <c r="A4"/>
  <c r="F42" i="1"/>
  <c r="D7" s="1"/>
</calcChain>
</file>

<file path=xl/sharedStrings.xml><?xml version="1.0" encoding="utf-8"?>
<sst xmlns="http://schemas.openxmlformats.org/spreadsheetml/2006/main" count="87" uniqueCount="48">
  <si>
    <t>物品購入申請書</t>
  </si>
  <si>
    <t>担当者</t>
  </si>
  <si>
    <t>所　属</t>
  </si>
  <si>
    <t>物品合計金額</t>
  </si>
  <si>
    <t>単　　価</t>
  </si>
  <si>
    <t>数　　量</t>
  </si>
  <si>
    <t>金　　額</t>
  </si>
  <si>
    <t>　　　　　備　　考</t>
  </si>
  <si>
    <t>合計</t>
  </si>
  <si>
    <t>調達１課</t>
    <rPh sb="0" eb="2">
      <t>チョウタツ</t>
    </rPh>
    <rPh sb="3" eb="4">
      <t>カ</t>
    </rPh>
    <phoneticPr fontId="3"/>
  </si>
  <si>
    <t>ノートPC</t>
    <phoneticPr fontId="3"/>
  </si>
  <si>
    <t>商　品　名</t>
    <rPh sb="0" eb="1">
      <t>ショウ</t>
    </rPh>
    <rPh sb="2" eb="3">
      <t>ヒン</t>
    </rPh>
    <rPh sb="4" eb="5">
      <t>メイ</t>
    </rPh>
    <phoneticPr fontId="3"/>
  </si>
  <si>
    <t>申請日</t>
    <rPh sb="0" eb="3">
      <t>シンセイビ</t>
    </rPh>
    <phoneticPr fontId="3"/>
  </si>
  <si>
    <t>申請日</t>
    <rPh sb="0" eb="3">
      <t>シンセイビ</t>
    </rPh>
    <phoneticPr fontId="3"/>
  </si>
  <si>
    <t>変換版</t>
    <rPh sb="0" eb="3">
      <t>ヘンカンハン</t>
    </rPh>
    <phoneticPr fontId="3"/>
  </si>
  <si>
    <t>worksheet_name</t>
    <phoneticPr fontId="7"/>
  </si>
  <si>
    <t>cell_position</t>
    <phoneticPr fontId="7"/>
  </si>
  <si>
    <t>key</t>
    <phoneticPr fontId="7"/>
  </si>
  <si>
    <t>key_type</t>
    <phoneticPr fontId="7"/>
  </si>
  <si>
    <t>primary-key</t>
    <phoneticPr fontId="7"/>
  </si>
  <si>
    <t>description</t>
    <phoneticPr fontId="7"/>
  </si>
  <si>
    <t>担当者</t>
    <rPh sb="0" eb="3">
      <t>タントウシャ</t>
    </rPh>
    <phoneticPr fontId="3"/>
  </si>
  <si>
    <t>所属</t>
    <rPh sb="0" eb="2">
      <t>ショゾク</t>
    </rPh>
    <phoneticPr fontId="3"/>
  </si>
  <si>
    <t>商品名</t>
    <rPh sb="0" eb="3">
      <t>ショウヒンメイ</t>
    </rPh>
    <phoneticPr fontId="3"/>
  </si>
  <si>
    <t>単価</t>
    <rPh sb="0" eb="2">
      <t>タンカ</t>
    </rPh>
    <phoneticPr fontId="3"/>
  </si>
  <si>
    <t>数量</t>
    <rPh sb="0" eb="2">
      <t>スウリョウ</t>
    </rPh>
    <phoneticPr fontId="3"/>
  </si>
  <si>
    <t>金額</t>
    <rPh sb="0" eb="2">
      <t>キンガク</t>
    </rPh>
    <phoneticPr fontId="3"/>
  </si>
  <si>
    <r>
      <t>A</t>
    </r>
    <r>
      <rPr>
        <sz val="11"/>
        <rFont val="ＭＳ Ｐゴシック"/>
        <family val="3"/>
        <charset val="128"/>
      </rPr>
      <t>2+</t>
    </r>
    <phoneticPr fontId="3"/>
  </si>
  <si>
    <r>
      <t>B</t>
    </r>
    <r>
      <rPr>
        <sz val="11"/>
        <rFont val="ＭＳ Ｐゴシック"/>
        <family val="3"/>
        <charset val="128"/>
      </rPr>
      <t>2+</t>
    </r>
    <phoneticPr fontId="3"/>
  </si>
  <si>
    <r>
      <t>C</t>
    </r>
    <r>
      <rPr>
        <sz val="11"/>
        <rFont val="ＭＳ Ｐゴシック"/>
        <family val="3"/>
        <charset val="128"/>
      </rPr>
      <t>2+</t>
    </r>
    <phoneticPr fontId="3"/>
  </si>
  <si>
    <t>D2+</t>
    <phoneticPr fontId="3"/>
  </si>
  <si>
    <t>E2+</t>
    <phoneticPr fontId="3"/>
  </si>
  <si>
    <t>F2+</t>
    <phoneticPr fontId="3"/>
  </si>
  <si>
    <t>G2+</t>
    <phoneticPr fontId="3"/>
  </si>
  <si>
    <r>
      <t>u</t>
    </r>
    <r>
      <rPr>
        <sz val="11"/>
        <rFont val="ＭＳ Ｐゴシック"/>
        <family val="3"/>
        <charset val="128"/>
      </rPr>
      <t>ser</t>
    </r>
    <phoneticPr fontId="3"/>
  </si>
  <si>
    <r>
      <t>s</t>
    </r>
    <r>
      <rPr>
        <sz val="11"/>
        <rFont val="ＭＳ Ｐゴシック"/>
        <family val="3"/>
        <charset val="128"/>
      </rPr>
      <t>ection</t>
    </r>
    <phoneticPr fontId="3"/>
  </si>
  <si>
    <t>item_name</t>
    <phoneticPr fontId="3"/>
  </si>
  <si>
    <t>text</t>
    <phoneticPr fontId="3"/>
  </si>
  <si>
    <t>integer</t>
    <phoneticPr fontId="3"/>
  </si>
  <si>
    <r>
      <t>q</t>
    </r>
    <r>
      <rPr>
        <sz val="11"/>
        <rFont val="ＭＳ Ｐゴシック"/>
        <family val="3"/>
        <charset val="128"/>
      </rPr>
      <t>uantity</t>
    </r>
    <phoneticPr fontId="3"/>
  </si>
  <si>
    <t>cost</t>
    <phoneticPr fontId="3"/>
  </si>
  <si>
    <t>price</t>
    <phoneticPr fontId="3"/>
  </si>
  <si>
    <t>ノートPCアダプタ</t>
    <phoneticPr fontId="3"/>
  </si>
  <si>
    <t>ディスプレイ</t>
    <phoneticPr fontId="3"/>
  </si>
  <si>
    <t>アイテム</t>
    <phoneticPr fontId="3"/>
  </si>
  <si>
    <t>コメント：</t>
    <phoneticPr fontId="3"/>
  </si>
  <si>
    <t>apply_date</t>
    <phoneticPr fontId="3"/>
  </si>
  <si>
    <t>諏訪さくら</t>
    <rPh sb="0" eb="2">
      <t>スワ</t>
    </rPh>
    <phoneticPr fontId="3"/>
  </si>
</sst>
</file>

<file path=xl/styles.xml><?xml version="1.0" encoding="utf-8"?>
<styleSheet xmlns="http://schemas.openxmlformats.org/spreadsheetml/2006/main">
  <numFmts count="3">
    <numFmt numFmtId="176" formatCode="&quot;\&quot;#,###;&quot;\&quot;\-#,###"/>
    <numFmt numFmtId="177" formatCode="#,###;&quot;\&quot;\-#,###"/>
    <numFmt numFmtId="178" formatCode="yyyy&quot;年&quot;m&quot;月&quot;d&quot;日&quot;;@"/>
  </numFmts>
  <fonts count="8">
    <font>
      <sz val="11"/>
      <name val="ＭＳ Ｐゴシック"/>
      <charset val="128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6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176" fontId="0" fillId="0" borderId="15" xfId="0" applyNumberFormat="1" applyBorder="1"/>
    <xf numFmtId="177" fontId="0" fillId="0" borderId="15" xfId="0" applyNumberFormat="1" applyBorder="1"/>
    <xf numFmtId="176" fontId="0" fillId="0" borderId="2" xfId="0" applyNumberFormat="1" applyBorder="1"/>
    <xf numFmtId="0" fontId="0" fillId="0" borderId="18" xfId="0" applyBorder="1"/>
    <xf numFmtId="178" fontId="0" fillId="0" borderId="0" xfId="0" applyNumberFormat="1"/>
    <xf numFmtId="0" fontId="1" fillId="0" borderId="0" xfId="0" applyFont="1"/>
    <xf numFmtId="0" fontId="1" fillId="2" borderId="1" xfId="0" applyFont="1" applyFill="1" applyBorder="1"/>
    <xf numFmtId="0" fontId="0" fillId="2" borderId="6" xfId="0" applyFill="1" applyBorder="1"/>
    <xf numFmtId="177" fontId="0" fillId="0" borderId="6" xfId="0" applyNumberFormat="1" applyBorder="1"/>
    <xf numFmtId="178" fontId="0" fillId="2" borderId="19" xfId="0" applyNumberFormat="1" applyFill="1" applyBorder="1"/>
    <xf numFmtId="0" fontId="4" fillId="0" borderId="1" xfId="0" applyFont="1" applyBorder="1"/>
    <xf numFmtId="0" fontId="4" fillId="0" borderId="0" xfId="0" applyFont="1"/>
    <xf numFmtId="0" fontId="0" fillId="3" borderId="6" xfId="0" applyFill="1" applyBorder="1" applyAlignment="1">
      <alignment horizontal="center"/>
    </xf>
    <xf numFmtId="0" fontId="0" fillId="3" borderId="6" xfId="0" applyFill="1" applyBorder="1"/>
    <xf numFmtId="0" fontId="5" fillId="0" borderId="2" xfId="0" applyFont="1" applyBorder="1"/>
    <xf numFmtId="0" fontId="6" fillId="3" borderId="0" xfId="0" applyFont="1" applyFill="1" applyAlignment="1">
      <alignment vertical="center"/>
    </xf>
    <xf numFmtId="0" fontId="1" fillId="3" borderId="0" xfId="0" applyFont="1" applyFill="1"/>
    <xf numFmtId="0" fontId="0" fillId="3" borderId="0" xfId="0" applyFill="1"/>
    <xf numFmtId="38" fontId="0" fillId="2" borderId="6" xfId="0" applyNumberFormat="1" applyFill="1" applyBorder="1"/>
    <xf numFmtId="0" fontId="0" fillId="0" borderId="20" xfId="0" applyBorder="1"/>
    <xf numFmtId="0" fontId="0" fillId="0" borderId="19" xfId="0" applyBorder="1"/>
    <xf numFmtId="0" fontId="0" fillId="0" borderId="21" xfId="0" applyBorder="1"/>
    <xf numFmtId="38" fontId="0" fillId="2" borderId="15" xfId="0" applyNumberFormat="1" applyFill="1" applyBorder="1"/>
    <xf numFmtId="0" fontId="0" fillId="2" borderId="15" xfId="0" applyFill="1" applyBorder="1"/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1" fillId="0" borderId="17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51"/>
  <sheetViews>
    <sheetView showGridLines="0" tabSelected="1" showRuler="0" showWhiteSpace="0" view="pageBreakPreview" zoomScaleNormal="100" zoomScaleSheetLayoutView="100" workbookViewId="0">
      <selection activeCell="G5" sqref="G5"/>
    </sheetView>
  </sheetViews>
  <sheetFormatPr defaultRowHeight="13.5"/>
  <cols>
    <col min="4" max="4" width="11.75" customWidth="1"/>
    <col min="6" max="6" width="10.125" bestFit="1" customWidth="1"/>
    <col min="7" max="7" width="17.375" customWidth="1"/>
  </cols>
  <sheetData>
    <row r="2" spans="1:7" ht="19.5" thickBot="1">
      <c r="C2" s="1" t="s">
        <v>0</v>
      </c>
      <c r="D2" s="2"/>
      <c r="F2" s="15" t="s">
        <v>13</v>
      </c>
      <c r="G2" s="13">
        <f ca="1">TODAY()</f>
        <v>44687</v>
      </c>
    </row>
    <row r="3" spans="1:7" ht="14.25" thickTop="1">
      <c r="F3" s="9"/>
    </row>
    <row r="4" spans="1:7">
      <c r="F4" s="14" t="s">
        <v>1</v>
      </c>
      <c r="G4" s="10" t="s">
        <v>47</v>
      </c>
    </row>
    <row r="5" spans="1:7">
      <c r="F5" s="14" t="s">
        <v>2</v>
      </c>
      <c r="G5" s="10" t="s">
        <v>9</v>
      </c>
    </row>
    <row r="7" spans="1:7" ht="15" thickBot="1">
      <c r="B7" s="18" t="s">
        <v>3</v>
      </c>
      <c r="C7" s="3"/>
      <c r="D7" s="6">
        <f>F42</f>
        <v>249800</v>
      </c>
    </row>
    <row r="10" spans="1:7">
      <c r="A10" s="43" t="s">
        <v>11</v>
      </c>
      <c r="B10" s="44"/>
      <c r="C10" s="45"/>
      <c r="D10" s="16" t="s">
        <v>4</v>
      </c>
      <c r="E10" s="16" t="s">
        <v>5</v>
      </c>
      <c r="F10" s="16" t="s">
        <v>6</v>
      </c>
      <c r="G10" s="17" t="s">
        <v>7</v>
      </c>
    </row>
    <row r="11" spans="1:7">
      <c r="A11" s="28" t="s">
        <v>10</v>
      </c>
      <c r="B11" s="29"/>
      <c r="C11" s="30"/>
      <c r="D11" s="22">
        <v>98000</v>
      </c>
      <c r="E11" s="11">
        <v>2</v>
      </c>
      <c r="F11" s="12">
        <f>D11*E11</f>
        <v>196000</v>
      </c>
      <c r="G11" s="11"/>
    </row>
    <row r="12" spans="1:7">
      <c r="A12" s="46" t="s">
        <v>42</v>
      </c>
      <c r="B12" s="29"/>
      <c r="C12" s="30"/>
      <c r="D12" s="22">
        <v>12000</v>
      </c>
      <c r="E12" s="11">
        <v>2</v>
      </c>
      <c r="F12" s="12">
        <f t="shared" ref="F12:F27" si="0">D12*E12</f>
        <v>24000</v>
      </c>
      <c r="G12" s="11"/>
    </row>
    <row r="13" spans="1:7">
      <c r="A13" s="46" t="s">
        <v>43</v>
      </c>
      <c r="B13" s="29"/>
      <c r="C13" s="30"/>
      <c r="D13" s="22">
        <v>27000</v>
      </c>
      <c r="E13" s="11">
        <v>1</v>
      </c>
      <c r="F13" s="12">
        <f t="shared" si="0"/>
        <v>27000</v>
      </c>
      <c r="G13" s="11"/>
    </row>
    <row r="14" spans="1:7">
      <c r="A14" s="28" t="s">
        <v>44</v>
      </c>
      <c r="B14" s="29"/>
      <c r="C14" s="30"/>
      <c r="D14" s="22">
        <v>100</v>
      </c>
      <c r="E14" s="11">
        <v>1</v>
      </c>
      <c r="F14" s="12">
        <f t="shared" si="0"/>
        <v>100</v>
      </c>
      <c r="G14" s="11"/>
    </row>
    <row r="15" spans="1:7">
      <c r="A15" s="28" t="s">
        <v>44</v>
      </c>
      <c r="B15" s="29"/>
      <c r="C15" s="30"/>
      <c r="D15" s="22">
        <v>100</v>
      </c>
      <c r="E15" s="11">
        <v>1</v>
      </c>
      <c r="F15" s="12">
        <f t="shared" si="0"/>
        <v>100</v>
      </c>
      <c r="G15" s="11"/>
    </row>
    <row r="16" spans="1:7">
      <c r="A16" s="28" t="s">
        <v>44</v>
      </c>
      <c r="B16" s="29"/>
      <c r="C16" s="30"/>
      <c r="D16" s="22">
        <v>100</v>
      </c>
      <c r="E16" s="11">
        <v>1</v>
      </c>
      <c r="F16" s="12">
        <f t="shared" si="0"/>
        <v>100</v>
      </c>
      <c r="G16" s="11"/>
    </row>
    <row r="17" spans="1:7">
      <c r="A17" s="28" t="s">
        <v>44</v>
      </c>
      <c r="B17" s="29"/>
      <c r="C17" s="30"/>
      <c r="D17" s="22">
        <v>100</v>
      </c>
      <c r="E17" s="11">
        <v>1</v>
      </c>
      <c r="F17" s="12">
        <f t="shared" si="0"/>
        <v>100</v>
      </c>
      <c r="G17" s="11"/>
    </row>
    <row r="18" spans="1:7">
      <c r="A18" s="28" t="s">
        <v>44</v>
      </c>
      <c r="B18" s="29"/>
      <c r="C18" s="30"/>
      <c r="D18" s="22">
        <v>100</v>
      </c>
      <c r="E18" s="11">
        <v>1</v>
      </c>
      <c r="F18" s="12">
        <f t="shared" si="0"/>
        <v>100</v>
      </c>
      <c r="G18" s="11"/>
    </row>
    <row r="19" spans="1:7">
      <c r="A19" s="28" t="s">
        <v>44</v>
      </c>
      <c r="B19" s="29"/>
      <c r="C19" s="30"/>
      <c r="D19" s="22">
        <v>100</v>
      </c>
      <c r="E19" s="11">
        <v>1</v>
      </c>
      <c r="F19" s="12">
        <f t="shared" si="0"/>
        <v>100</v>
      </c>
      <c r="G19" s="11"/>
    </row>
    <row r="20" spans="1:7">
      <c r="A20" s="28" t="s">
        <v>44</v>
      </c>
      <c r="B20" s="29"/>
      <c r="C20" s="30"/>
      <c r="D20" s="22">
        <v>100</v>
      </c>
      <c r="E20" s="11">
        <v>1</v>
      </c>
      <c r="F20" s="12">
        <f t="shared" si="0"/>
        <v>100</v>
      </c>
      <c r="G20" s="11"/>
    </row>
    <row r="21" spans="1:7">
      <c r="A21" s="28" t="s">
        <v>44</v>
      </c>
      <c r="B21" s="29"/>
      <c r="C21" s="30"/>
      <c r="D21" s="22">
        <v>100</v>
      </c>
      <c r="E21" s="11">
        <v>1</v>
      </c>
      <c r="F21" s="12">
        <f t="shared" si="0"/>
        <v>100</v>
      </c>
      <c r="G21" s="11"/>
    </row>
    <row r="22" spans="1:7">
      <c r="A22" s="28" t="s">
        <v>44</v>
      </c>
      <c r="B22" s="29"/>
      <c r="C22" s="30"/>
      <c r="D22" s="22">
        <v>100</v>
      </c>
      <c r="E22" s="11">
        <v>1</v>
      </c>
      <c r="F22" s="12">
        <f t="shared" si="0"/>
        <v>100</v>
      </c>
      <c r="G22" s="11"/>
    </row>
    <row r="23" spans="1:7">
      <c r="A23" s="28" t="s">
        <v>44</v>
      </c>
      <c r="B23" s="29"/>
      <c r="C23" s="30"/>
      <c r="D23" s="22">
        <v>100</v>
      </c>
      <c r="E23" s="11">
        <v>1</v>
      </c>
      <c r="F23" s="12">
        <f t="shared" si="0"/>
        <v>100</v>
      </c>
      <c r="G23" s="11"/>
    </row>
    <row r="24" spans="1:7">
      <c r="A24" s="28" t="s">
        <v>44</v>
      </c>
      <c r="B24" s="29"/>
      <c r="C24" s="30"/>
      <c r="D24" s="22">
        <v>100</v>
      </c>
      <c r="E24" s="11">
        <v>1</v>
      </c>
      <c r="F24" s="12">
        <f t="shared" si="0"/>
        <v>100</v>
      </c>
      <c r="G24" s="11"/>
    </row>
    <row r="25" spans="1:7">
      <c r="A25" s="28" t="s">
        <v>44</v>
      </c>
      <c r="B25" s="29"/>
      <c r="C25" s="30"/>
      <c r="D25" s="22">
        <v>100</v>
      </c>
      <c r="E25" s="11">
        <v>1</v>
      </c>
      <c r="F25" s="12">
        <f t="shared" si="0"/>
        <v>100</v>
      </c>
      <c r="G25" s="11"/>
    </row>
    <row r="26" spans="1:7">
      <c r="A26" s="28" t="s">
        <v>44</v>
      </c>
      <c r="B26" s="29"/>
      <c r="C26" s="30"/>
      <c r="D26" s="22">
        <v>100</v>
      </c>
      <c r="E26" s="11">
        <v>1</v>
      </c>
      <c r="F26" s="12">
        <f t="shared" si="0"/>
        <v>100</v>
      </c>
      <c r="G26" s="11"/>
    </row>
    <row r="27" spans="1:7">
      <c r="A27" s="28" t="s">
        <v>44</v>
      </c>
      <c r="B27" s="29"/>
      <c r="C27" s="30"/>
      <c r="D27" s="22">
        <v>100</v>
      </c>
      <c r="E27" s="11">
        <v>1</v>
      </c>
      <c r="F27" s="12">
        <f t="shared" si="0"/>
        <v>100</v>
      </c>
      <c r="G27" s="11"/>
    </row>
    <row r="28" spans="1:7">
      <c r="A28" s="28" t="s">
        <v>44</v>
      </c>
      <c r="B28" s="29"/>
      <c r="C28" s="30"/>
      <c r="D28" s="22">
        <v>100</v>
      </c>
      <c r="E28" s="11">
        <v>1</v>
      </c>
      <c r="F28" s="12">
        <f t="shared" ref="F28:F41" si="1">D28*E28</f>
        <v>100</v>
      </c>
      <c r="G28" s="11"/>
    </row>
    <row r="29" spans="1:7">
      <c r="A29" s="28" t="s">
        <v>44</v>
      </c>
      <c r="B29" s="29"/>
      <c r="C29" s="30"/>
      <c r="D29" s="22">
        <v>100</v>
      </c>
      <c r="E29" s="11">
        <v>1</v>
      </c>
      <c r="F29" s="12">
        <f t="shared" si="1"/>
        <v>100</v>
      </c>
      <c r="G29" s="11"/>
    </row>
    <row r="30" spans="1:7">
      <c r="A30" s="28" t="s">
        <v>44</v>
      </c>
      <c r="B30" s="29"/>
      <c r="C30" s="30"/>
      <c r="D30" s="22">
        <v>100</v>
      </c>
      <c r="E30" s="11">
        <v>1</v>
      </c>
      <c r="F30" s="12">
        <f t="shared" si="1"/>
        <v>100</v>
      </c>
      <c r="G30" s="11"/>
    </row>
    <row r="31" spans="1:7">
      <c r="A31" s="28" t="s">
        <v>44</v>
      </c>
      <c r="B31" s="29"/>
      <c r="C31" s="30"/>
      <c r="D31" s="22">
        <v>100</v>
      </c>
      <c r="E31" s="11">
        <v>1</v>
      </c>
      <c r="F31" s="12">
        <f t="shared" si="1"/>
        <v>100</v>
      </c>
      <c r="G31" s="11"/>
    </row>
    <row r="32" spans="1:7">
      <c r="A32" s="28" t="s">
        <v>44</v>
      </c>
      <c r="B32" s="29"/>
      <c r="C32" s="30"/>
      <c r="D32" s="22">
        <v>100</v>
      </c>
      <c r="E32" s="11">
        <v>1</v>
      </c>
      <c r="F32" s="12">
        <f t="shared" si="1"/>
        <v>100</v>
      </c>
      <c r="G32" s="11"/>
    </row>
    <row r="33" spans="1:7">
      <c r="A33" s="28" t="s">
        <v>44</v>
      </c>
      <c r="B33" s="29"/>
      <c r="C33" s="30"/>
      <c r="D33" s="22">
        <v>100</v>
      </c>
      <c r="E33" s="11">
        <v>1</v>
      </c>
      <c r="F33" s="12">
        <f t="shared" si="1"/>
        <v>100</v>
      </c>
      <c r="G33" s="11"/>
    </row>
    <row r="34" spans="1:7">
      <c r="A34" s="28" t="s">
        <v>44</v>
      </c>
      <c r="B34" s="29"/>
      <c r="C34" s="30"/>
      <c r="D34" s="22">
        <v>100</v>
      </c>
      <c r="E34" s="11">
        <v>1</v>
      </c>
      <c r="F34" s="12">
        <f t="shared" si="1"/>
        <v>100</v>
      </c>
      <c r="G34" s="11"/>
    </row>
    <row r="35" spans="1:7">
      <c r="A35" s="28" t="s">
        <v>44</v>
      </c>
      <c r="B35" s="29"/>
      <c r="C35" s="30"/>
      <c r="D35" s="22">
        <v>100</v>
      </c>
      <c r="E35" s="11">
        <v>1</v>
      </c>
      <c r="F35" s="12">
        <f t="shared" si="1"/>
        <v>100</v>
      </c>
      <c r="G35" s="11"/>
    </row>
    <row r="36" spans="1:7">
      <c r="A36" s="28" t="s">
        <v>44</v>
      </c>
      <c r="B36" s="29"/>
      <c r="C36" s="30"/>
      <c r="D36" s="22">
        <v>100</v>
      </c>
      <c r="E36" s="11">
        <v>1</v>
      </c>
      <c r="F36" s="12">
        <f t="shared" si="1"/>
        <v>100</v>
      </c>
      <c r="G36" s="11"/>
    </row>
    <row r="37" spans="1:7">
      <c r="A37" s="28" t="s">
        <v>44</v>
      </c>
      <c r="B37" s="29"/>
      <c r="C37" s="30"/>
      <c r="D37" s="22">
        <v>100</v>
      </c>
      <c r="E37" s="11">
        <v>1</v>
      </c>
      <c r="F37" s="12">
        <f t="shared" si="1"/>
        <v>100</v>
      </c>
      <c r="G37" s="11"/>
    </row>
    <row r="38" spans="1:7">
      <c r="A38" s="28" t="s">
        <v>44</v>
      </c>
      <c r="B38" s="29"/>
      <c r="C38" s="30"/>
      <c r="D38" s="22">
        <v>100</v>
      </c>
      <c r="E38" s="11">
        <v>1</v>
      </c>
      <c r="F38" s="12">
        <f t="shared" si="1"/>
        <v>100</v>
      </c>
      <c r="G38" s="11"/>
    </row>
    <row r="39" spans="1:7">
      <c r="A39" s="28" t="s">
        <v>44</v>
      </c>
      <c r="B39" s="29"/>
      <c r="C39" s="30"/>
      <c r="D39" s="22">
        <v>100</v>
      </c>
      <c r="E39" s="11">
        <v>1</v>
      </c>
      <c r="F39" s="12">
        <f t="shared" si="1"/>
        <v>100</v>
      </c>
      <c r="G39" s="11"/>
    </row>
    <row r="40" spans="1:7">
      <c r="A40" s="28" t="s">
        <v>44</v>
      </c>
      <c r="B40" s="29"/>
      <c r="C40" s="30"/>
      <c r="D40" s="22">
        <v>100</v>
      </c>
      <c r="E40" s="11">
        <v>1</v>
      </c>
      <c r="F40" s="12">
        <f t="shared" si="1"/>
        <v>100</v>
      </c>
      <c r="G40" s="11"/>
    </row>
    <row r="41" spans="1:7" ht="14.25" thickBot="1">
      <c r="A41" s="31" t="s">
        <v>44</v>
      </c>
      <c r="B41" s="32"/>
      <c r="C41" s="33"/>
      <c r="D41" s="26">
        <v>100</v>
      </c>
      <c r="E41" s="27">
        <v>1</v>
      </c>
      <c r="F41" s="5">
        <f t="shared" si="1"/>
        <v>100</v>
      </c>
      <c r="G41" s="27"/>
    </row>
    <row r="42" spans="1:7" ht="15" thickTop="1" thickBot="1">
      <c r="A42" s="23" t="s">
        <v>8</v>
      </c>
      <c r="B42" s="24"/>
      <c r="C42" s="24"/>
      <c r="D42" s="25"/>
      <c r="E42" s="25"/>
      <c r="F42" s="4">
        <f>SUM(F11:F41)</f>
        <v>249800</v>
      </c>
      <c r="G42" s="7"/>
    </row>
    <row r="43" spans="1:7" ht="14.25" thickTop="1"/>
    <row r="45" spans="1:7">
      <c r="A45" s="34" t="s">
        <v>45</v>
      </c>
      <c r="B45" s="35"/>
      <c r="C45" s="35"/>
      <c r="D45" s="35"/>
      <c r="E45" s="35"/>
      <c r="F45" s="35"/>
      <c r="G45" s="36"/>
    </row>
    <row r="46" spans="1:7">
      <c r="A46" s="37"/>
      <c r="B46" s="38"/>
      <c r="C46" s="38"/>
      <c r="D46" s="38"/>
      <c r="E46" s="38"/>
      <c r="F46" s="38"/>
      <c r="G46" s="39"/>
    </row>
    <row r="47" spans="1:7">
      <c r="A47" s="37"/>
      <c r="B47" s="38"/>
      <c r="C47" s="38"/>
      <c r="D47" s="38"/>
      <c r="E47" s="38"/>
      <c r="F47" s="38"/>
      <c r="G47" s="39"/>
    </row>
    <row r="48" spans="1:7">
      <c r="A48" s="37"/>
      <c r="B48" s="38"/>
      <c r="C48" s="38"/>
      <c r="D48" s="38"/>
      <c r="E48" s="38"/>
      <c r="F48" s="38"/>
      <c r="G48" s="39"/>
    </row>
    <row r="49" spans="1:7">
      <c r="A49" s="37"/>
      <c r="B49" s="38"/>
      <c r="C49" s="38"/>
      <c r="D49" s="38"/>
      <c r="E49" s="38"/>
      <c r="F49" s="38"/>
      <c r="G49" s="39"/>
    </row>
    <row r="50" spans="1:7">
      <c r="A50" s="37"/>
      <c r="B50" s="38"/>
      <c r="C50" s="38"/>
      <c r="D50" s="38"/>
      <c r="E50" s="38"/>
      <c r="F50" s="38"/>
      <c r="G50" s="39"/>
    </row>
    <row r="51" spans="1:7">
      <c r="A51" s="40"/>
      <c r="B51" s="41"/>
      <c r="C51" s="41"/>
      <c r="D51" s="41"/>
      <c r="E51" s="41"/>
      <c r="F51" s="41"/>
      <c r="G51" s="42"/>
    </row>
  </sheetData>
  <mergeCells count="33">
    <mergeCell ref="A11:C11"/>
    <mergeCell ref="A45:G51"/>
    <mergeCell ref="A10:C10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40:C40"/>
    <mergeCell ref="A41:C41"/>
    <mergeCell ref="A35:C35"/>
    <mergeCell ref="A36:C36"/>
    <mergeCell ref="A37:C37"/>
    <mergeCell ref="A38:C38"/>
    <mergeCell ref="A39:C39"/>
  </mergeCells>
  <phoneticPr fontId="3"/>
  <pageMargins left="0.78740157480314965" right="0.78740157480314965" top="0.98425196850393704" bottom="0.98425196850393704" header="0.51181102362204722" footer="0.51181102362204722"/>
  <pageSetup paperSize="9" orientation="portrait" horizontalDpi="360" verticalDpi="36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zoomScaleNormal="100" workbookViewId="0">
      <selection activeCell="A2" sqref="A2"/>
    </sheetView>
  </sheetViews>
  <sheetFormatPr defaultRowHeight="13.5"/>
  <cols>
    <col min="1" max="1" width="13.5" bestFit="1" customWidth="1"/>
    <col min="3" max="3" width="8.375" bestFit="1" customWidth="1"/>
    <col min="4" max="4" width="15" bestFit="1" customWidth="1"/>
    <col min="5" max="7" width="7.75" bestFit="1" customWidth="1"/>
  </cols>
  <sheetData>
    <row r="1" spans="1:7">
      <c r="A1" s="20" t="s">
        <v>12</v>
      </c>
      <c r="B1" s="21" t="str">
        <f>複合型申請書!F4</f>
        <v>担当者</v>
      </c>
      <c r="C1" s="21" t="str">
        <f>複合型申請書!F5</f>
        <v>所　属</v>
      </c>
      <c r="D1" s="21" t="str">
        <f>複合型申請書!A10</f>
        <v>商　品　名</v>
      </c>
      <c r="E1" s="21" t="str">
        <f>複合型申請書!D10</f>
        <v>単　　価</v>
      </c>
      <c r="F1" s="21" t="str">
        <f>複合型申請書!E10</f>
        <v>数　　量</v>
      </c>
      <c r="G1" s="21" t="str">
        <f>複合型申請書!F10</f>
        <v>金　　額</v>
      </c>
    </row>
    <row r="2" spans="1:7">
      <c r="A2" s="8">
        <f ca="1">複合型申請書!$G$2</f>
        <v>44687</v>
      </c>
      <c r="B2" t="str">
        <f>複合型申請書!$G$4</f>
        <v>諏訪さくら</v>
      </c>
      <c r="C2" t="str">
        <f>複合型申請書!$G$5</f>
        <v>調達１課</v>
      </c>
      <c r="D2" t="str">
        <f>複合型申請書!A11</f>
        <v>ノートPC</v>
      </c>
      <c r="E2">
        <f>複合型申請書!D11</f>
        <v>98000</v>
      </c>
      <c r="F2">
        <f>複合型申請書!E11</f>
        <v>2</v>
      </c>
      <c r="G2">
        <f>複合型申請書!F11</f>
        <v>196000</v>
      </c>
    </row>
    <row r="3" spans="1:7">
      <c r="A3" s="8">
        <f ca="1">複合型申請書!$G$2</f>
        <v>44687</v>
      </c>
      <c r="B3" t="str">
        <f>複合型申請書!$G$4</f>
        <v>諏訪さくら</v>
      </c>
      <c r="C3" t="str">
        <f>複合型申請書!$G$5</f>
        <v>調達１課</v>
      </c>
      <c r="D3" t="str">
        <f>複合型申請書!A12</f>
        <v>ノートPCアダプタ</v>
      </c>
      <c r="E3">
        <f>複合型申請書!D12</f>
        <v>12000</v>
      </c>
      <c r="F3">
        <f>複合型申請書!E12</f>
        <v>2</v>
      </c>
      <c r="G3">
        <f>複合型申請書!F12</f>
        <v>24000</v>
      </c>
    </row>
    <row r="4" spans="1:7">
      <c r="A4" s="8">
        <f ca="1">複合型申請書!$G$2</f>
        <v>44687</v>
      </c>
      <c r="B4" t="str">
        <f>複合型申請書!$G$4</f>
        <v>諏訪さくら</v>
      </c>
      <c r="C4" t="str">
        <f>複合型申請書!$G$5</f>
        <v>調達１課</v>
      </c>
      <c r="D4" t="str">
        <f>複合型申請書!A13</f>
        <v>ディスプレイ</v>
      </c>
      <c r="E4">
        <f>複合型申請書!D13</f>
        <v>27000</v>
      </c>
      <c r="F4">
        <f>複合型申請書!E13</f>
        <v>1</v>
      </c>
      <c r="G4">
        <f>複合型申請書!F13</f>
        <v>27000</v>
      </c>
    </row>
    <row r="5" spans="1:7">
      <c r="A5" s="8">
        <f ca="1">複合型申請書!$G$2</f>
        <v>44687</v>
      </c>
      <c r="B5" t="str">
        <f>複合型申請書!$G$4</f>
        <v>諏訪さくら</v>
      </c>
      <c r="C5" t="str">
        <f>複合型申請書!$G$5</f>
        <v>調達１課</v>
      </c>
      <c r="D5" t="str">
        <f>複合型申請書!A14</f>
        <v>アイテム</v>
      </c>
      <c r="E5">
        <f>複合型申請書!D14</f>
        <v>100</v>
      </c>
      <c r="F5">
        <f>複合型申請書!E14</f>
        <v>1</v>
      </c>
      <c r="G5">
        <f>複合型申請書!F14</f>
        <v>100</v>
      </c>
    </row>
    <row r="6" spans="1:7">
      <c r="A6" s="8">
        <f ca="1">複合型申請書!$G$2</f>
        <v>44687</v>
      </c>
      <c r="B6" t="str">
        <f>複合型申請書!$G$4</f>
        <v>諏訪さくら</v>
      </c>
      <c r="C6" t="str">
        <f>複合型申請書!$G$5</f>
        <v>調達１課</v>
      </c>
      <c r="D6" t="str">
        <f>複合型申請書!A15</f>
        <v>アイテム</v>
      </c>
      <c r="E6">
        <f>複合型申請書!D15</f>
        <v>100</v>
      </c>
      <c r="F6">
        <f>複合型申請書!E15</f>
        <v>1</v>
      </c>
      <c r="G6">
        <f>複合型申請書!F15</f>
        <v>100</v>
      </c>
    </row>
    <row r="7" spans="1:7">
      <c r="A7" s="8">
        <f ca="1">複合型申請書!$G$2</f>
        <v>44687</v>
      </c>
      <c r="B7" t="str">
        <f>複合型申請書!$G$4</f>
        <v>諏訪さくら</v>
      </c>
      <c r="C7" t="str">
        <f>複合型申請書!$G$5</f>
        <v>調達１課</v>
      </c>
      <c r="D7" t="str">
        <f>複合型申請書!A16</f>
        <v>アイテム</v>
      </c>
      <c r="E7">
        <f>複合型申請書!D16</f>
        <v>100</v>
      </c>
      <c r="F7">
        <f>複合型申請書!E16</f>
        <v>1</v>
      </c>
      <c r="G7">
        <f>複合型申請書!F16</f>
        <v>100</v>
      </c>
    </row>
    <row r="8" spans="1:7">
      <c r="A8" s="8">
        <f ca="1">複合型申請書!$G$2</f>
        <v>44687</v>
      </c>
      <c r="B8" t="str">
        <f>複合型申請書!$G$4</f>
        <v>諏訪さくら</v>
      </c>
      <c r="C8" t="str">
        <f>複合型申請書!$G$5</f>
        <v>調達１課</v>
      </c>
      <c r="D8" t="str">
        <f>複合型申請書!A17</f>
        <v>アイテム</v>
      </c>
      <c r="E8">
        <f>複合型申請書!D17</f>
        <v>100</v>
      </c>
      <c r="F8">
        <f>複合型申請書!E17</f>
        <v>1</v>
      </c>
      <c r="G8">
        <f>複合型申請書!F17</f>
        <v>100</v>
      </c>
    </row>
    <row r="9" spans="1:7">
      <c r="A9" s="8">
        <f ca="1">複合型申請書!$G$2</f>
        <v>44687</v>
      </c>
      <c r="B9" t="str">
        <f>複合型申請書!$G$4</f>
        <v>諏訪さくら</v>
      </c>
      <c r="C9" t="str">
        <f>複合型申請書!$G$5</f>
        <v>調達１課</v>
      </c>
      <c r="D9" t="str">
        <f>複合型申請書!A18</f>
        <v>アイテム</v>
      </c>
      <c r="E9">
        <f>複合型申請書!D18</f>
        <v>100</v>
      </c>
      <c r="F9">
        <f>複合型申請書!E18</f>
        <v>1</v>
      </c>
      <c r="G9">
        <f>複合型申請書!F18</f>
        <v>100</v>
      </c>
    </row>
    <row r="10" spans="1:7">
      <c r="A10" s="8">
        <f ca="1">複合型申請書!$G$2</f>
        <v>44687</v>
      </c>
      <c r="B10" t="str">
        <f>複合型申請書!$G$4</f>
        <v>諏訪さくら</v>
      </c>
      <c r="C10" t="str">
        <f>複合型申請書!$G$5</f>
        <v>調達１課</v>
      </c>
      <c r="D10" t="str">
        <f>複合型申請書!A19</f>
        <v>アイテム</v>
      </c>
      <c r="E10">
        <f>複合型申請書!D19</f>
        <v>100</v>
      </c>
      <c r="F10">
        <f>複合型申請書!E19</f>
        <v>1</v>
      </c>
      <c r="G10">
        <f>複合型申請書!F19</f>
        <v>100</v>
      </c>
    </row>
    <row r="11" spans="1:7">
      <c r="A11" s="8">
        <f ca="1">複合型申請書!$G$2</f>
        <v>44687</v>
      </c>
      <c r="B11" t="str">
        <f>複合型申請書!$G$4</f>
        <v>諏訪さくら</v>
      </c>
      <c r="C11" t="str">
        <f>複合型申請書!$G$5</f>
        <v>調達１課</v>
      </c>
      <c r="D11" t="str">
        <f>複合型申請書!A20</f>
        <v>アイテム</v>
      </c>
      <c r="E11">
        <f>複合型申請書!D20</f>
        <v>100</v>
      </c>
      <c r="F11">
        <f>複合型申請書!E20</f>
        <v>1</v>
      </c>
      <c r="G11">
        <f>複合型申請書!F20</f>
        <v>100</v>
      </c>
    </row>
    <row r="12" spans="1:7">
      <c r="A12" s="8">
        <f ca="1">複合型申請書!$G$2</f>
        <v>44687</v>
      </c>
      <c r="B12" t="str">
        <f>複合型申請書!$G$4</f>
        <v>諏訪さくら</v>
      </c>
      <c r="C12" t="str">
        <f>複合型申請書!$G$5</f>
        <v>調達１課</v>
      </c>
      <c r="D12" t="str">
        <f>複合型申請書!A21</f>
        <v>アイテム</v>
      </c>
      <c r="E12">
        <f>複合型申請書!D21</f>
        <v>100</v>
      </c>
      <c r="F12">
        <f>複合型申請書!E21</f>
        <v>1</v>
      </c>
      <c r="G12">
        <f>複合型申請書!F21</f>
        <v>100</v>
      </c>
    </row>
    <row r="13" spans="1:7">
      <c r="A13" s="8">
        <f ca="1">複合型申請書!$G$2</f>
        <v>44687</v>
      </c>
      <c r="B13" t="str">
        <f>複合型申請書!$G$4</f>
        <v>諏訪さくら</v>
      </c>
      <c r="C13" t="str">
        <f>複合型申請書!$G$5</f>
        <v>調達１課</v>
      </c>
      <c r="D13" t="str">
        <f>複合型申請書!A22</f>
        <v>アイテム</v>
      </c>
      <c r="E13">
        <f>複合型申請書!D22</f>
        <v>100</v>
      </c>
      <c r="F13">
        <f>複合型申請書!E22</f>
        <v>1</v>
      </c>
      <c r="G13">
        <f>複合型申請書!F22</f>
        <v>100</v>
      </c>
    </row>
    <row r="14" spans="1:7">
      <c r="A14" s="8">
        <f ca="1">複合型申請書!$G$2</f>
        <v>44687</v>
      </c>
      <c r="B14" t="str">
        <f>複合型申請書!$G$4</f>
        <v>諏訪さくら</v>
      </c>
      <c r="C14" t="str">
        <f>複合型申請書!$G$5</f>
        <v>調達１課</v>
      </c>
      <c r="D14" t="str">
        <f>複合型申請書!A23</f>
        <v>アイテム</v>
      </c>
      <c r="E14">
        <f>複合型申請書!D23</f>
        <v>100</v>
      </c>
      <c r="F14">
        <f>複合型申請書!E23</f>
        <v>1</v>
      </c>
      <c r="G14">
        <f>複合型申請書!F23</f>
        <v>100</v>
      </c>
    </row>
    <row r="15" spans="1:7">
      <c r="A15" s="8">
        <f ca="1">複合型申請書!$G$2</f>
        <v>44687</v>
      </c>
      <c r="B15" t="str">
        <f>複合型申請書!$G$4</f>
        <v>諏訪さくら</v>
      </c>
      <c r="C15" t="str">
        <f>複合型申請書!$G$5</f>
        <v>調達１課</v>
      </c>
      <c r="D15" t="str">
        <f>複合型申請書!A24</f>
        <v>アイテム</v>
      </c>
      <c r="E15">
        <f>複合型申請書!D24</f>
        <v>100</v>
      </c>
      <c r="F15">
        <f>複合型申請書!E24</f>
        <v>1</v>
      </c>
      <c r="G15">
        <f>複合型申請書!F24</f>
        <v>100</v>
      </c>
    </row>
    <row r="16" spans="1:7">
      <c r="A16" s="8">
        <f ca="1">複合型申請書!$G$2</f>
        <v>44687</v>
      </c>
      <c r="B16" t="str">
        <f>複合型申請書!$G$4</f>
        <v>諏訪さくら</v>
      </c>
      <c r="C16" t="str">
        <f>複合型申請書!$G$5</f>
        <v>調達１課</v>
      </c>
      <c r="D16" t="str">
        <f>複合型申請書!A25</f>
        <v>アイテム</v>
      </c>
      <c r="E16">
        <f>複合型申請書!D25</f>
        <v>100</v>
      </c>
      <c r="F16">
        <f>複合型申請書!E25</f>
        <v>1</v>
      </c>
      <c r="G16">
        <f>複合型申請書!F25</f>
        <v>100</v>
      </c>
    </row>
    <row r="17" spans="1:7">
      <c r="A17" s="8">
        <f ca="1">複合型申請書!$G$2</f>
        <v>44687</v>
      </c>
      <c r="B17" t="str">
        <f>複合型申請書!$G$4</f>
        <v>諏訪さくら</v>
      </c>
      <c r="C17" t="str">
        <f>複合型申請書!$G$5</f>
        <v>調達１課</v>
      </c>
      <c r="D17" t="str">
        <f>複合型申請書!A26</f>
        <v>アイテム</v>
      </c>
      <c r="E17">
        <f>複合型申請書!D26</f>
        <v>100</v>
      </c>
      <c r="F17">
        <f>複合型申請書!E26</f>
        <v>1</v>
      </c>
      <c r="G17">
        <f>複合型申請書!F26</f>
        <v>100</v>
      </c>
    </row>
    <row r="18" spans="1:7">
      <c r="A18" s="8">
        <f ca="1">複合型申請書!$G$2</f>
        <v>44687</v>
      </c>
      <c r="B18" t="str">
        <f>複合型申請書!$G$4</f>
        <v>諏訪さくら</v>
      </c>
      <c r="C18" t="str">
        <f>複合型申請書!$G$5</f>
        <v>調達１課</v>
      </c>
      <c r="D18" t="str">
        <f>複合型申請書!A27</f>
        <v>アイテム</v>
      </c>
      <c r="E18">
        <f>複合型申請書!D27</f>
        <v>100</v>
      </c>
      <c r="F18">
        <f>複合型申請書!E27</f>
        <v>1</v>
      </c>
      <c r="G18">
        <f>複合型申請書!F27</f>
        <v>100</v>
      </c>
    </row>
    <row r="19" spans="1:7">
      <c r="A19" s="8">
        <f ca="1">複合型申請書!$G$2</f>
        <v>44687</v>
      </c>
      <c r="B19" t="str">
        <f>複合型申請書!$G$4</f>
        <v>諏訪さくら</v>
      </c>
      <c r="C19" t="str">
        <f>複合型申請書!$G$5</f>
        <v>調達１課</v>
      </c>
      <c r="D19" t="str">
        <f>複合型申請書!A28</f>
        <v>アイテム</v>
      </c>
      <c r="E19">
        <f>複合型申請書!D28</f>
        <v>100</v>
      </c>
      <c r="F19">
        <f>複合型申請書!E28</f>
        <v>1</v>
      </c>
      <c r="G19">
        <f>複合型申請書!F28</f>
        <v>100</v>
      </c>
    </row>
    <row r="20" spans="1:7">
      <c r="A20" s="8">
        <f ca="1">複合型申請書!$G$2</f>
        <v>44687</v>
      </c>
      <c r="B20" t="str">
        <f>複合型申請書!$G$4</f>
        <v>諏訪さくら</v>
      </c>
      <c r="C20" t="str">
        <f>複合型申請書!$G$5</f>
        <v>調達１課</v>
      </c>
      <c r="D20" t="str">
        <f>複合型申請書!A29</f>
        <v>アイテム</v>
      </c>
      <c r="E20">
        <f>複合型申請書!D29</f>
        <v>100</v>
      </c>
      <c r="F20">
        <f>複合型申請書!E29</f>
        <v>1</v>
      </c>
      <c r="G20">
        <f>複合型申請書!F29</f>
        <v>100</v>
      </c>
    </row>
    <row r="21" spans="1:7">
      <c r="A21" s="8">
        <f ca="1">複合型申請書!$G$2</f>
        <v>44687</v>
      </c>
      <c r="B21" t="str">
        <f>複合型申請書!$G$4</f>
        <v>諏訪さくら</v>
      </c>
      <c r="C21" t="str">
        <f>複合型申請書!$G$5</f>
        <v>調達１課</v>
      </c>
      <c r="D21" t="str">
        <f>複合型申請書!A30</f>
        <v>アイテム</v>
      </c>
      <c r="E21">
        <f>複合型申請書!D30</f>
        <v>100</v>
      </c>
      <c r="F21">
        <f>複合型申請書!E30</f>
        <v>1</v>
      </c>
      <c r="G21">
        <f>複合型申請書!F30</f>
        <v>100</v>
      </c>
    </row>
    <row r="22" spans="1:7">
      <c r="A22" s="8">
        <f ca="1">複合型申請書!$G$2</f>
        <v>44687</v>
      </c>
      <c r="B22" t="str">
        <f>複合型申請書!$G$4</f>
        <v>諏訪さくら</v>
      </c>
      <c r="C22" t="str">
        <f>複合型申請書!$G$5</f>
        <v>調達１課</v>
      </c>
      <c r="D22" t="str">
        <f>複合型申請書!A31</f>
        <v>アイテム</v>
      </c>
      <c r="E22">
        <f>複合型申請書!D31</f>
        <v>100</v>
      </c>
      <c r="F22">
        <f>複合型申請書!E31</f>
        <v>1</v>
      </c>
      <c r="G22">
        <f>複合型申請書!F31</f>
        <v>100</v>
      </c>
    </row>
    <row r="23" spans="1:7">
      <c r="A23" s="8">
        <f ca="1">複合型申請書!$G$2</f>
        <v>44687</v>
      </c>
      <c r="B23" t="str">
        <f>複合型申請書!$G$4</f>
        <v>諏訪さくら</v>
      </c>
      <c r="C23" t="str">
        <f>複合型申請書!$G$5</f>
        <v>調達１課</v>
      </c>
      <c r="D23" t="str">
        <f>複合型申請書!A32</f>
        <v>アイテム</v>
      </c>
      <c r="E23">
        <f>複合型申請書!D32</f>
        <v>100</v>
      </c>
      <c r="F23">
        <f>複合型申請書!E32</f>
        <v>1</v>
      </c>
      <c r="G23">
        <f>複合型申請書!F32</f>
        <v>100</v>
      </c>
    </row>
    <row r="24" spans="1:7">
      <c r="A24" s="8">
        <f ca="1">複合型申請書!$G$2</f>
        <v>44687</v>
      </c>
      <c r="B24" t="str">
        <f>複合型申請書!$G$4</f>
        <v>諏訪さくら</v>
      </c>
      <c r="C24" t="str">
        <f>複合型申請書!$G$5</f>
        <v>調達１課</v>
      </c>
      <c r="D24" t="str">
        <f>複合型申請書!A33</f>
        <v>アイテム</v>
      </c>
      <c r="E24">
        <f>複合型申請書!D33</f>
        <v>100</v>
      </c>
      <c r="F24">
        <f>複合型申請書!E33</f>
        <v>1</v>
      </c>
      <c r="G24">
        <f>複合型申請書!F33</f>
        <v>100</v>
      </c>
    </row>
    <row r="25" spans="1:7">
      <c r="A25" s="8">
        <f ca="1">複合型申請書!$G$2</f>
        <v>44687</v>
      </c>
      <c r="B25" t="str">
        <f>複合型申請書!$G$4</f>
        <v>諏訪さくら</v>
      </c>
      <c r="C25" t="str">
        <f>複合型申請書!$G$5</f>
        <v>調達１課</v>
      </c>
      <c r="D25" t="str">
        <f>複合型申請書!A34</f>
        <v>アイテム</v>
      </c>
      <c r="E25">
        <f>複合型申請書!D34</f>
        <v>100</v>
      </c>
      <c r="F25">
        <f>複合型申請書!E34</f>
        <v>1</v>
      </c>
      <c r="G25">
        <f>複合型申請書!F34</f>
        <v>100</v>
      </c>
    </row>
    <row r="26" spans="1:7">
      <c r="A26" s="8">
        <f ca="1">複合型申請書!$G$2</f>
        <v>44687</v>
      </c>
      <c r="B26" t="str">
        <f>複合型申請書!$G$4</f>
        <v>諏訪さくら</v>
      </c>
      <c r="C26" t="str">
        <f>複合型申請書!$G$5</f>
        <v>調達１課</v>
      </c>
      <c r="D26" t="str">
        <f>複合型申請書!A35</f>
        <v>アイテム</v>
      </c>
      <c r="E26">
        <f>複合型申請書!D35</f>
        <v>100</v>
      </c>
      <c r="F26">
        <f>複合型申請書!E35</f>
        <v>1</v>
      </c>
      <c r="G26">
        <f>複合型申請書!F35</f>
        <v>100</v>
      </c>
    </row>
    <row r="27" spans="1:7">
      <c r="A27" s="8">
        <f ca="1">複合型申請書!$G$2</f>
        <v>44687</v>
      </c>
      <c r="B27" t="str">
        <f>複合型申請書!$G$4</f>
        <v>諏訪さくら</v>
      </c>
      <c r="C27" t="str">
        <f>複合型申請書!$G$5</f>
        <v>調達１課</v>
      </c>
      <c r="D27" t="str">
        <f>複合型申請書!A36</f>
        <v>アイテム</v>
      </c>
      <c r="E27">
        <f>複合型申請書!D36</f>
        <v>100</v>
      </c>
      <c r="F27">
        <f>複合型申請書!E36</f>
        <v>1</v>
      </c>
      <c r="G27">
        <f>複合型申請書!F36</f>
        <v>100</v>
      </c>
    </row>
    <row r="28" spans="1:7">
      <c r="A28" s="8">
        <f ca="1">複合型申請書!$G$2</f>
        <v>44687</v>
      </c>
      <c r="B28" t="str">
        <f>複合型申請書!$G$4</f>
        <v>諏訪さくら</v>
      </c>
      <c r="C28" t="str">
        <f>複合型申請書!$G$5</f>
        <v>調達１課</v>
      </c>
      <c r="D28" t="str">
        <f>複合型申請書!A37</f>
        <v>アイテム</v>
      </c>
      <c r="E28">
        <f>複合型申請書!D37</f>
        <v>100</v>
      </c>
      <c r="F28">
        <f>複合型申請書!E37</f>
        <v>1</v>
      </c>
      <c r="G28">
        <f>複合型申請書!F37</f>
        <v>100</v>
      </c>
    </row>
    <row r="29" spans="1:7">
      <c r="A29" s="8">
        <f ca="1">複合型申請書!$G$2</f>
        <v>44687</v>
      </c>
      <c r="B29" t="str">
        <f>複合型申請書!$G$4</f>
        <v>諏訪さくら</v>
      </c>
      <c r="C29" t="str">
        <f>複合型申請書!$G$5</f>
        <v>調達１課</v>
      </c>
      <c r="D29" t="str">
        <f>複合型申請書!A38</f>
        <v>アイテム</v>
      </c>
      <c r="E29">
        <f>複合型申請書!D38</f>
        <v>100</v>
      </c>
      <c r="F29">
        <f>複合型申請書!E38</f>
        <v>1</v>
      </c>
      <c r="G29">
        <f>複合型申請書!F38</f>
        <v>100</v>
      </c>
    </row>
    <row r="30" spans="1:7">
      <c r="A30" s="8">
        <f ca="1">複合型申請書!$G$2</f>
        <v>44687</v>
      </c>
      <c r="B30" t="str">
        <f>複合型申請書!$G$4</f>
        <v>諏訪さくら</v>
      </c>
      <c r="C30" t="str">
        <f>複合型申請書!$G$5</f>
        <v>調達１課</v>
      </c>
      <c r="D30" t="str">
        <f>複合型申請書!A39</f>
        <v>アイテム</v>
      </c>
      <c r="E30">
        <f>複合型申請書!D39</f>
        <v>100</v>
      </c>
      <c r="F30">
        <f>複合型申請書!E39</f>
        <v>1</v>
      </c>
      <c r="G30">
        <f>複合型申請書!F39</f>
        <v>100</v>
      </c>
    </row>
    <row r="31" spans="1:7">
      <c r="A31" s="8">
        <f ca="1">複合型申請書!$G$2</f>
        <v>44687</v>
      </c>
      <c r="B31" t="str">
        <f>複合型申請書!$G$4</f>
        <v>諏訪さくら</v>
      </c>
      <c r="C31" t="str">
        <f>複合型申請書!$G$5</f>
        <v>調達１課</v>
      </c>
      <c r="D31" t="str">
        <f>複合型申請書!A40</f>
        <v>アイテム</v>
      </c>
      <c r="E31">
        <f>複合型申請書!D40</f>
        <v>100</v>
      </c>
      <c r="F31">
        <f>複合型申請書!E40</f>
        <v>1</v>
      </c>
      <c r="G31">
        <f>複合型申請書!F40</f>
        <v>100</v>
      </c>
    </row>
    <row r="32" spans="1:7">
      <c r="A32" s="8">
        <f ca="1">複合型申請書!$G$2</f>
        <v>44687</v>
      </c>
      <c r="B32" t="str">
        <f>複合型申請書!$G$4</f>
        <v>諏訪さくら</v>
      </c>
      <c r="C32" t="str">
        <f>複合型申請書!$G$5</f>
        <v>調達１課</v>
      </c>
      <c r="D32" t="str">
        <f>複合型申請書!A41</f>
        <v>アイテム</v>
      </c>
      <c r="E32">
        <f>複合型申請書!D41</f>
        <v>100</v>
      </c>
      <c r="F32">
        <f>複合型申請書!E41</f>
        <v>1</v>
      </c>
      <c r="G32">
        <f>複合型申請書!F41</f>
        <v>100</v>
      </c>
    </row>
  </sheetData>
  <phoneticPr fontId="3"/>
  <pageMargins left="0.78700000000000003" right="0.78700000000000003" top="0.98399999999999999" bottom="0.98399999999999999" header="0.51200000000000001" footer="0.51200000000000001"/>
  <pageSetup orientation="portrait" horizontalDpi="0" verticalDpi="0" r:id="rId1"/>
  <headerFooter alignWithMargins="0">
    <oddHeader>&amp;A</oddHeader>
    <oddFooter>-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A2" sqref="A2"/>
    </sheetView>
  </sheetViews>
  <sheetFormatPr defaultRowHeight="13.5"/>
  <cols>
    <col min="1" max="1" width="15.125" bestFit="1" customWidth="1"/>
    <col min="2" max="2" width="11.125" bestFit="1" customWidth="1"/>
    <col min="3" max="3" width="9.75" bestFit="1" customWidth="1"/>
    <col min="4" max="4" width="8.25" bestFit="1" customWidth="1"/>
    <col min="5" max="5" width="11" bestFit="1" customWidth="1"/>
    <col min="6" max="6" width="10.125" bestFit="1" customWidth="1"/>
  </cols>
  <sheetData>
    <row r="1" spans="1:6">
      <c r="A1" s="19" t="s">
        <v>15</v>
      </c>
      <c r="B1" s="19" t="s">
        <v>16</v>
      </c>
      <c r="C1" s="19" t="s">
        <v>17</v>
      </c>
      <c r="D1" s="19" t="s">
        <v>18</v>
      </c>
      <c r="E1" s="19" t="s">
        <v>19</v>
      </c>
      <c r="F1" s="19" t="s">
        <v>20</v>
      </c>
    </row>
    <row r="2" spans="1:6">
      <c r="A2" s="9" t="s">
        <v>14</v>
      </c>
      <c r="B2" s="9" t="s">
        <v>27</v>
      </c>
      <c r="C2" s="9" t="s">
        <v>46</v>
      </c>
      <c r="D2" s="9" t="s">
        <v>37</v>
      </c>
      <c r="F2" s="9" t="s">
        <v>13</v>
      </c>
    </row>
    <row r="3" spans="1:6">
      <c r="A3" s="9" t="s">
        <v>14</v>
      </c>
      <c r="B3" s="9" t="s">
        <v>28</v>
      </c>
      <c r="C3" s="9" t="s">
        <v>34</v>
      </c>
      <c r="D3" s="9" t="s">
        <v>37</v>
      </c>
      <c r="F3" s="9" t="s">
        <v>21</v>
      </c>
    </row>
    <row r="4" spans="1:6">
      <c r="A4" s="9" t="s">
        <v>14</v>
      </c>
      <c r="B4" s="9" t="s">
        <v>29</v>
      </c>
      <c r="C4" s="9" t="s">
        <v>35</v>
      </c>
      <c r="D4" s="9" t="s">
        <v>37</v>
      </c>
      <c r="F4" s="9" t="s">
        <v>22</v>
      </c>
    </row>
    <row r="5" spans="1:6">
      <c r="A5" s="9" t="s">
        <v>14</v>
      </c>
      <c r="B5" s="9" t="s">
        <v>30</v>
      </c>
      <c r="C5" s="9" t="s">
        <v>36</v>
      </c>
      <c r="D5" s="9" t="s">
        <v>37</v>
      </c>
      <c r="F5" s="9" t="s">
        <v>23</v>
      </c>
    </row>
    <row r="6" spans="1:6">
      <c r="A6" s="9" t="s">
        <v>14</v>
      </c>
      <c r="B6" s="9" t="s">
        <v>31</v>
      </c>
      <c r="C6" s="9" t="s">
        <v>40</v>
      </c>
      <c r="D6" s="9" t="s">
        <v>38</v>
      </c>
      <c r="F6" s="9" t="s">
        <v>24</v>
      </c>
    </row>
    <row r="7" spans="1:6">
      <c r="A7" s="9" t="s">
        <v>14</v>
      </c>
      <c r="B7" s="9" t="s">
        <v>32</v>
      </c>
      <c r="C7" s="9" t="s">
        <v>39</v>
      </c>
      <c r="D7" s="9" t="s">
        <v>38</v>
      </c>
      <c r="F7" s="9" t="s">
        <v>25</v>
      </c>
    </row>
    <row r="8" spans="1:6">
      <c r="A8" s="9" t="s">
        <v>14</v>
      </c>
      <c r="B8" s="9" t="s">
        <v>33</v>
      </c>
      <c r="C8" s="9" t="s">
        <v>41</v>
      </c>
      <c r="D8" s="9" t="s">
        <v>38</v>
      </c>
      <c r="F8" s="9" t="s">
        <v>26</v>
      </c>
    </row>
  </sheetData>
  <phoneticPr fontId="3"/>
  <pageMargins left="0.78700000000000003" right="0.78700000000000003" top="0.98399999999999999" bottom="0.98399999999999999" header="0.51200000000000001" footer="0.51200000000000001"/>
  <pageSetup orientation="portrait" horizontalDpi="0" verticalDpi="0" r:id="rId1"/>
  <headerFooter alignWithMargins="0">
    <oddHeader>&amp;A</oddHeader>
    <oddFooter>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複合型申請書</vt:lpstr>
      <vt:lpstr>変換版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Yoshinori Yanai</dc:creator>
  <cp:lastModifiedBy>Ray Calvino</cp:lastModifiedBy>
  <cp:lastPrinted>2022-05-04T03:42:27Z</cp:lastPrinted>
  <dcterms:created xsi:type="dcterms:W3CDTF">1998-09-14T01:31:11Z</dcterms:created>
  <dcterms:modified xsi:type="dcterms:W3CDTF">2022-05-06T00:22:15Z</dcterms:modified>
</cp:coreProperties>
</file>